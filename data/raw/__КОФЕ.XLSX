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ch\dfs\Предварительный контроль\_Excel\"/>
    </mc:Choice>
  </mc:AlternateContent>
  <bookViews>
    <workbookView xWindow="0" yWindow="0" windowWidth="21570" windowHeight="8715"/>
  </bookViews>
  <sheets>
    <sheet name="Расчет (2)" sheetId="4" r:id="rId1"/>
    <sheet name="Расчет" sheetId="3" state="hidden" r:id="rId2"/>
    <sheet name="на 5" sheetId="1" state="hidden" r:id="rId3"/>
    <sheet name="на 4" sheetId="2" state="hidden" r:id="rId4"/>
  </sheets>
  <definedNames>
    <definedName name="_xlnm.Print_Area" localSheetId="0">'Расчет (2)'!$A$1:$M$12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4" l="1"/>
  <c r="G7" i="4"/>
  <c r="C11" i="4" l="1"/>
  <c r="E11" i="4"/>
  <c r="I11" i="4"/>
  <c r="G11" i="4"/>
  <c r="K11" i="4" l="1"/>
  <c r="K4" i="4"/>
  <c r="K5" i="4"/>
  <c r="K6" i="4"/>
  <c r="K8" i="4"/>
  <c r="K9" i="4"/>
  <c r="K10" i="4"/>
  <c r="K7" i="4"/>
  <c r="G12" i="4"/>
  <c r="G3" i="4"/>
  <c r="E12" i="4" l="1"/>
  <c r="I12" i="4"/>
  <c r="I3" i="4"/>
  <c r="E3" i="4"/>
  <c r="C3" i="4"/>
  <c r="C7" i="3"/>
  <c r="D7" i="3"/>
  <c r="E16" i="3"/>
  <c r="E17" i="3"/>
  <c r="C12" i="4" l="1"/>
  <c r="K12" i="4" s="1"/>
  <c r="F7" i="3"/>
  <c r="F9" i="3"/>
  <c r="F8" i="3"/>
  <c r="F5" i="3"/>
  <c r="F6" i="3"/>
  <c r="F4" i="3"/>
  <c r="D11" i="3"/>
  <c r="D12" i="3" s="1"/>
  <c r="E11" i="3"/>
  <c r="E12" i="3" s="1"/>
  <c r="L5" i="4" l="1"/>
  <c r="M5" i="4" s="1"/>
  <c r="L10" i="4"/>
  <c r="M10" i="4" s="1"/>
  <c r="L9" i="4"/>
  <c r="M9" i="4" s="1"/>
  <c r="L7" i="4"/>
  <c r="M7" i="4" s="1"/>
  <c r="L6" i="4"/>
  <c r="M6" i="4" s="1"/>
  <c r="L8" i="4"/>
  <c r="M8" i="4" s="1"/>
  <c r="L4" i="4"/>
  <c r="M4" i="4" s="1"/>
  <c r="C11" i="3"/>
  <c r="C12" i="3" s="1"/>
  <c r="G9" i="3" s="1"/>
  <c r="H9" i="3" s="1"/>
  <c r="C7" i="1"/>
  <c r="N8" i="4" l="1"/>
  <c r="N7" i="4"/>
  <c r="N5" i="4"/>
  <c r="G7" i="3"/>
  <c r="H7" i="3" s="1"/>
  <c r="G8" i="3"/>
  <c r="H8" i="3" s="1"/>
  <c r="G6" i="3"/>
  <c r="H6" i="3" s="1"/>
  <c r="G4" i="3"/>
  <c r="H4" i="3" s="1"/>
  <c r="G5" i="3"/>
  <c r="H5" i="3" s="1"/>
  <c r="F11" i="3"/>
  <c r="C8" i="2"/>
  <c r="C9" i="2" s="1"/>
  <c r="F12" i="3" l="1"/>
  <c r="D4" i="2"/>
  <c r="E4" i="2" s="1"/>
  <c r="F4" i="1" s="1"/>
  <c r="D7" i="2"/>
  <c r="E7" i="2" s="1"/>
  <c r="F7" i="1" s="1"/>
  <c r="D6" i="2"/>
  <c r="E6" i="2" s="1"/>
  <c r="F6" i="1" s="1"/>
  <c r="D5" i="2"/>
  <c r="E5" i="2" s="1"/>
  <c r="F5" i="1" s="1"/>
  <c r="C9" i="1"/>
  <c r="C10" i="1" s="1"/>
  <c r="D4" i="1" l="1"/>
  <c r="E4" i="1" s="1"/>
  <c r="G4" i="1" s="1"/>
  <c r="D5" i="1" l="1"/>
  <c r="E5" i="1" s="1"/>
  <c r="G5" i="1" s="1"/>
  <c r="D6" i="1"/>
  <c r="E6" i="1" s="1"/>
  <c r="G6" i="1" s="1"/>
  <c r="D8" i="1"/>
  <c r="E8" i="1" s="1"/>
  <c r="G8" i="1" s="1"/>
  <c r="D7" i="1"/>
  <c r="E7" i="1" s="1"/>
  <c r="G7" i="1" s="1"/>
</calcChain>
</file>

<file path=xl/sharedStrings.xml><?xml version="1.0" encoding="utf-8"?>
<sst xmlns="http://schemas.openxmlformats.org/spreadsheetml/2006/main" count="59" uniqueCount="26">
  <si>
    <t>Елена</t>
  </si>
  <si>
    <t>Максим</t>
  </si>
  <si>
    <t>Сергей</t>
  </si>
  <si>
    <t>Павел</t>
  </si>
  <si>
    <t>Эмилия</t>
  </si>
  <si>
    <t>Уже оплачено за товары</t>
  </si>
  <si>
    <t>Всего потрачено</t>
  </si>
  <si>
    <t>Всего на 1 человека</t>
  </si>
  <si>
    <t>Должен еще оплатить</t>
  </si>
  <si>
    <t>Должен еще оплатить (округление)</t>
  </si>
  <si>
    <t xml:space="preserve">Уже оплачено за товары </t>
  </si>
  <si>
    <t>на 5</t>
  </si>
  <si>
    <t xml:space="preserve"> на 4</t>
  </si>
  <si>
    <t>Всего</t>
  </si>
  <si>
    <t>х</t>
  </si>
  <si>
    <t>Маша</t>
  </si>
  <si>
    <t>Владимир</t>
  </si>
  <si>
    <t>на 6</t>
  </si>
  <si>
    <t>Кому должен оплатить</t>
  </si>
  <si>
    <t>Елене</t>
  </si>
  <si>
    <t>Максиму</t>
  </si>
  <si>
    <t>Сергею</t>
  </si>
  <si>
    <t>Павлу</t>
  </si>
  <si>
    <t>Владимиру</t>
  </si>
  <si>
    <t>Эмилии</t>
  </si>
  <si>
    <t>Маше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</si>
</sst>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\ _₽_-;\-* #,##0.00\ _₽_-;_-* &quot;-&quot;??\ _₽_-;_-@_-"/>
    <numFmt numFmtId="164" formatCode="0.0"/>
    <numFmt numFmtId="165" formatCode="_-* #,##0\ _₽_-;\-* #,##0\ _₽_-;_-* &quot;-&quot;??\ _₽_-;_-@_-"/>
    <numFmt numFmtId="166" formatCode="#,##0.0;[Red]\-#,##0.0"/>
  </numFmts>
  <fonts count="9" x14ac:knownFonts="1">
    <font>
      <sz val="14"/>
      <color theme="1"/>
      <name val="Times New Roman"/>
      <family val="2"/>
      <charset val="204"/>
    </font>
    <font>
      <sz val="14"/>
      <name val="Times New Roman"/>
      <family val="2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2"/>
      <charset val="204"/>
    </font>
    <font>
      <sz val="14"/>
      <color rgb="FF0070C0"/>
      <name val="Times New Roman"/>
      <family val="2"/>
      <charset val="204"/>
    </font>
    <font>
      <sz val="14"/>
      <color rgb="FFFF0000"/>
      <name val="Times New Roman"/>
      <family val="2"/>
      <charset val="204"/>
    </font>
    <font>
      <sz val="14"/>
      <color theme="9"/>
      <name val="Times New Roman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1" fillId="2" borderId="1" xfId="0" applyFont="1" applyFill="1" applyBorder="1"/>
    <xf numFmtId="0" fontId="2" fillId="5" borderId="1" xfId="0" applyFont="1" applyFill="1" applyBorder="1"/>
    <xf numFmtId="0" fontId="1" fillId="7" borderId="1" xfId="0" applyFont="1" applyFill="1" applyBorder="1"/>
    <xf numFmtId="0" fontId="1" fillId="6" borderId="1" xfId="0" applyFont="1" applyFill="1" applyBorder="1" applyAlignment="1">
      <alignment horizontal="center"/>
    </xf>
    <xf numFmtId="164" fontId="0" fillId="0" borderId="1" xfId="0" applyNumberFormat="1" applyBorder="1"/>
    <xf numFmtId="1" fontId="0" fillId="4" borderId="1" xfId="0" applyNumberFormat="1" applyFill="1" applyBorder="1"/>
    <xf numFmtId="0" fontId="5" fillId="2" borderId="1" xfId="0" applyFont="1" applyFill="1" applyBorder="1"/>
    <xf numFmtId="1" fontId="5" fillId="4" borderId="1" xfId="0" applyNumberFormat="1" applyFont="1" applyFill="1" applyBorder="1"/>
    <xf numFmtId="0" fontId="5" fillId="3" borderId="1" xfId="0" applyFont="1" applyFill="1" applyBorder="1"/>
    <xf numFmtId="0" fontId="4" fillId="2" borderId="1" xfId="0" applyFont="1" applyFill="1" applyBorder="1"/>
    <xf numFmtId="1" fontId="4" fillId="4" borderId="1" xfId="0" applyNumberFormat="1" applyFont="1" applyFill="1" applyBorder="1"/>
    <xf numFmtId="0" fontId="4" fillId="3" borderId="1" xfId="0" applyFont="1" applyFill="1" applyBorder="1"/>
    <xf numFmtId="165" fontId="4" fillId="2" borderId="1" xfId="1" applyNumberFormat="1" applyFont="1" applyFill="1" applyBorder="1"/>
    <xf numFmtId="165" fontId="4" fillId="4" borderId="1" xfId="1" applyNumberFormat="1" applyFont="1" applyFill="1" applyBorder="1"/>
    <xf numFmtId="165" fontId="4" fillId="3" borderId="1" xfId="1" applyNumberFormat="1" applyFont="1" applyFill="1" applyBorder="1"/>
    <xf numFmtId="165" fontId="1" fillId="2" borderId="1" xfId="1" applyNumberFormat="1" applyFont="1" applyFill="1" applyBorder="1"/>
    <xf numFmtId="165" fontId="0" fillId="4" borderId="1" xfId="1" applyNumberFormat="1" applyFont="1" applyFill="1" applyBorder="1"/>
    <xf numFmtId="165" fontId="0" fillId="3" borderId="1" xfId="1" applyNumberFormat="1" applyFont="1" applyFill="1" applyBorder="1"/>
    <xf numFmtId="165" fontId="5" fillId="2" borderId="1" xfId="1" applyNumberFormat="1" applyFont="1" applyFill="1" applyBorder="1"/>
    <xf numFmtId="165" fontId="5" fillId="4" borderId="1" xfId="1" applyNumberFormat="1" applyFont="1" applyFill="1" applyBorder="1"/>
    <xf numFmtId="165" fontId="5" fillId="3" borderId="1" xfId="1" applyNumberFormat="1" applyFont="1" applyFill="1" applyBorder="1"/>
    <xf numFmtId="165" fontId="0" fillId="0" borderId="0" xfId="1" applyNumberFormat="1" applyFont="1"/>
    <xf numFmtId="165" fontId="1" fillId="7" borderId="1" xfId="1" applyNumberFormat="1" applyFont="1" applyFill="1" applyBorder="1"/>
    <xf numFmtId="165" fontId="0" fillId="3" borderId="1" xfId="1" applyNumberFormat="1" applyFont="1" applyFill="1" applyBorder="1" applyAlignment="1">
      <alignment horizontal="center"/>
    </xf>
    <xf numFmtId="165" fontId="0" fillId="0" borderId="0" xfId="0" applyNumberFormat="1"/>
    <xf numFmtId="165" fontId="6" fillId="2" borderId="1" xfId="1" applyNumberFormat="1" applyFont="1" applyFill="1" applyBorder="1"/>
    <xf numFmtId="0" fontId="6" fillId="2" borderId="1" xfId="0" applyFont="1" applyFill="1" applyBorder="1"/>
    <xf numFmtId="165" fontId="6" fillId="4" borderId="1" xfId="1" applyNumberFormat="1" applyFont="1" applyFill="1" applyBorder="1"/>
    <xf numFmtId="1" fontId="6" fillId="4" borderId="1" xfId="0" applyNumberFormat="1" applyFont="1" applyFill="1" applyBorder="1"/>
    <xf numFmtId="165" fontId="6" fillId="3" borderId="1" xfId="1" applyNumberFormat="1" applyFont="1" applyFill="1" applyBorder="1"/>
    <xf numFmtId="0" fontId="6" fillId="3" borderId="1" xfId="0" applyFont="1" applyFill="1" applyBorder="1"/>
    <xf numFmtId="165" fontId="8" fillId="0" borderId="1" xfId="1" applyNumberFormat="1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/>
    <xf numFmtId="166" fontId="0" fillId="0" borderId="1" xfId="1" applyNumberFormat="1" applyFont="1" applyBorder="1" applyAlignment="1"/>
    <xf numFmtId="166" fontId="7" fillId="5" borderId="1" xfId="1" applyNumberFormat="1" applyFont="1" applyFill="1" applyBorder="1" applyAlignment="1"/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</cellXfs>
  <cellStyles count="2">
    <cellStyle name="Обычный" xfId="0" builtinId="0"/>
    <cellStyle name="Финансовый" xfId="1" builtinId="3"/>
  </cellStyles>
  <dxfs count="5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X12"/>
  <sheetViews>
    <sheetView tabSelected="1" view="pageBreakPreview" zoomScale="115" zoomScaleNormal="100" zoomScaleSheetLayoutView="115" workbookViewId="0">
      <selection activeCell="M5" sqref="M5"/>
    </sheetView>
  </sheetViews>
  <sheetFormatPr defaultRowHeight="18.75" outlineLevelCol="1" x14ac:dyDescent="0.3"/>
  <cols>
    <col min="1" max="1" width="1.77734375" customWidth="1"/>
    <col min="2" max="2" width="19" customWidth="1"/>
    <col min="3" max="3" width="8.5546875" bestFit="1" customWidth="1"/>
    <col min="4" max="4" width="2" bestFit="1" customWidth="1"/>
    <col min="5" max="5" width="8.77734375" customWidth="1"/>
    <col min="6" max="6" width="2" bestFit="1" customWidth="1"/>
    <col min="7" max="7" width="9.21875" customWidth="1"/>
    <col min="8" max="8" width="2" bestFit="1" customWidth="1"/>
    <col min="9" max="9" width="8.5546875" style="26" bestFit="1" customWidth="1"/>
    <col min="10" max="10" width="2" bestFit="1" customWidth="1"/>
    <col min="11" max="11" width="9.5546875" bestFit="1" customWidth="1"/>
    <col min="12" max="12" width="11.88671875" bestFit="1" customWidth="1"/>
    <col min="13" max="13" width="11.77734375" customWidth="1"/>
    <col min="14" max="14" width="0" hidden="1" customWidth="1"/>
    <col min="15" max="15" width="5.109375" bestFit="1" customWidth="1"/>
    <col min="16" max="16" width="7" hidden="1" customWidth="1"/>
    <col min="17" max="18" width="8.5546875" customWidth="1" outlineLevel="1"/>
    <col min="20" max="20" width="10.44140625" hidden="1" customWidth="1" outlineLevel="1"/>
    <col min="21" max="22" width="8.88671875" hidden="1" customWidth="1" outlineLevel="1"/>
    <col min="23" max="23" width="8.88671875" collapsed="1"/>
  </cols>
  <sheetData>
    <row r="2" spans="2:24" ht="42.75" customHeight="1" x14ac:dyDescent="0.3">
      <c r="B2" s="45"/>
      <c r="C2" s="46" t="s">
        <v>10</v>
      </c>
      <c r="D2" s="47"/>
      <c r="E2" s="47"/>
      <c r="F2" s="47"/>
      <c r="G2" s="47"/>
      <c r="H2" s="47"/>
      <c r="I2" s="47"/>
      <c r="J2" s="47"/>
      <c r="K2" s="48"/>
      <c r="L2" s="49" t="s">
        <v>8</v>
      </c>
      <c r="M2" s="49" t="s">
        <v>9</v>
      </c>
      <c r="P2" s="44" t="s">
        <v>18</v>
      </c>
      <c r="Q2" s="44"/>
      <c r="R2" s="44"/>
      <c r="S2" s="44"/>
      <c r="T2" s="44"/>
      <c r="U2" s="44"/>
      <c r="V2" s="44"/>
    </row>
    <row r="3" spans="2:24" x14ac:dyDescent="0.3">
      <c r="B3" s="45"/>
      <c r="C3" s="50" t="str">
        <f>"на "&amp;SUM(D4:D10)</f>
        <v>на 4</v>
      </c>
      <c r="D3" s="51"/>
      <c r="E3" s="46" t="str">
        <f>"на "&amp;SUM(F4:F10)</f>
        <v>на 6</v>
      </c>
      <c r="F3" s="48"/>
      <c r="G3" s="54" t="str">
        <f>"на "&amp;SUM(H4:H10)</f>
        <v>на 6</v>
      </c>
      <c r="H3" s="55"/>
      <c r="I3" s="52" t="str">
        <f>"на "&amp;SUM(J4:J10)</f>
        <v>на 7</v>
      </c>
      <c r="J3" s="53"/>
      <c r="K3" s="2" t="s">
        <v>13</v>
      </c>
      <c r="L3" s="49"/>
      <c r="M3" s="49"/>
      <c r="P3" s="37" t="s">
        <v>19</v>
      </c>
      <c r="Q3" s="37" t="s">
        <v>20</v>
      </c>
      <c r="R3" s="37" t="s">
        <v>21</v>
      </c>
      <c r="S3" s="37" t="s">
        <v>22</v>
      </c>
      <c r="T3" s="37" t="s">
        <v>23</v>
      </c>
      <c r="U3" s="37" t="s">
        <v>24</v>
      </c>
      <c r="V3" s="37" t="s">
        <v>25</v>
      </c>
    </row>
    <row r="4" spans="2:24" x14ac:dyDescent="0.3">
      <c r="B4" s="1" t="s">
        <v>0</v>
      </c>
      <c r="C4" s="17"/>
      <c r="D4" s="14">
        <v>1</v>
      </c>
      <c r="E4" s="20"/>
      <c r="F4" s="5">
        <v>1</v>
      </c>
      <c r="G4" s="23"/>
      <c r="H4" s="11">
        <v>1</v>
      </c>
      <c r="I4" s="30"/>
      <c r="J4" s="31">
        <v>1</v>
      </c>
      <c r="K4" s="27">
        <f>C4+I4+E4+G4</f>
        <v>0</v>
      </c>
      <c r="L4" s="41">
        <f>($C$12*D4+$E$12*F4+$G$12*H4+$I$12*J4)-K4</f>
        <v>1324.3333333333335</v>
      </c>
      <c r="M4" s="42">
        <f>ROUNDUP(L4,0)</f>
        <v>1325</v>
      </c>
      <c r="N4" s="29"/>
      <c r="P4" s="38"/>
      <c r="Q4" s="43"/>
      <c r="R4" s="43"/>
      <c r="S4" s="43"/>
      <c r="T4" s="1"/>
      <c r="U4" s="1"/>
    </row>
    <row r="5" spans="2:24" x14ac:dyDescent="0.3">
      <c r="B5" s="1" t="s">
        <v>1</v>
      </c>
      <c r="C5" s="17"/>
      <c r="D5" s="14">
        <v>1</v>
      </c>
      <c r="E5" s="20">
        <v>739</v>
      </c>
      <c r="F5" s="5">
        <v>1</v>
      </c>
      <c r="G5" s="23"/>
      <c r="H5" s="11">
        <v>1</v>
      </c>
      <c r="I5" s="30"/>
      <c r="J5" s="31">
        <v>1</v>
      </c>
      <c r="K5" s="27">
        <f t="shared" ref="K5:K10" si="0">C5+I5+E5+G5</f>
        <v>739</v>
      </c>
      <c r="L5" s="41">
        <f>($C$12*D5+$E$12*F5+$G$12*H5+$I$12*J5)-K5</f>
        <v>585.33333333333348</v>
      </c>
      <c r="M5" s="42">
        <f>ROUNDUP(L5,0)</f>
        <v>586</v>
      </c>
      <c r="N5" s="29">
        <f>M5+M6</f>
        <v>1911</v>
      </c>
      <c r="P5" s="39"/>
      <c r="Q5" s="43"/>
      <c r="R5" s="43"/>
      <c r="S5" s="43"/>
      <c r="T5" s="1"/>
      <c r="U5" s="1"/>
      <c r="V5" s="40"/>
      <c r="X5" s="39"/>
    </row>
    <row r="6" spans="2:24" x14ac:dyDescent="0.3">
      <c r="B6" s="1" t="s">
        <v>2</v>
      </c>
      <c r="C6" s="17"/>
      <c r="D6" s="14">
        <v>1</v>
      </c>
      <c r="E6" s="20"/>
      <c r="F6" s="5">
        <v>1</v>
      </c>
      <c r="G6" s="23"/>
      <c r="H6" s="11">
        <v>1</v>
      </c>
      <c r="I6" s="30"/>
      <c r="J6" s="31">
        <v>1</v>
      </c>
      <c r="K6" s="27">
        <f t="shared" si="0"/>
        <v>0</v>
      </c>
      <c r="L6" s="41">
        <f t="shared" ref="L6:L8" si="1">($C$12*D6+$E$12*F6+$G$12*H6+$I$12*J6)-K6</f>
        <v>1324.3333333333335</v>
      </c>
      <c r="M6" s="42">
        <f t="shared" ref="M6:M10" si="2">ROUNDUP(L6,0)</f>
        <v>1325</v>
      </c>
      <c r="N6" s="29"/>
      <c r="P6" s="38"/>
      <c r="Q6" s="43"/>
      <c r="R6" s="43"/>
      <c r="S6" s="43"/>
      <c r="T6" s="1"/>
      <c r="U6" s="1"/>
      <c r="V6" s="40"/>
      <c r="X6" s="38"/>
    </row>
    <row r="7" spans="2:24" x14ac:dyDescent="0.3">
      <c r="B7" s="1" t="s">
        <v>3</v>
      </c>
      <c r="C7" s="17"/>
      <c r="D7" s="14">
        <v>1</v>
      </c>
      <c r="E7" s="20">
        <f>2300+2609</f>
        <v>4909</v>
      </c>
      <c r="F7" s="5">
        <v>1</v>
      </c>
      <c r="G7" s="23">
        <f>650+570+839+239</f>
        <v>2298</v>
      </c>
      <c r="H7" s="11">
        <v>1</v>
      </c>
      <c r="I7" s="30"/>
      <c r="J7" s="31">
        <v>1</v>
      </c>
      <c r="K7" s="27">
        <f t="shared" si="0"/>
        <v>7207</v>
      </c>
      <c r="L7" s="41">
        <f>($C$12*D7+$E$12*F7+$G$12*H7+$I$12*J7)-K7</f>
        <v>-5882.6666666666661</v>
      </c>
      <c r="M7" s="42">
        <f t="shared" si="2"/>
        <v>-5883</v>
      </c>
      <c r="N7" s="29">
        <f>M7+M4+M10</f>
        <v>-4175</v>
      </c>
      <c r="P7" s="39"/>
      <c r="Q7" s="43"/>
      <c r="R7" s="43"/>
      <c r="S7" s="43"/>
      <c r="T7" s="1"/>
      <c r="U7" s="1"/>
      <c r="V7" s="1"/>
      <c r="X7" s="39"/>
    </row>
    <row r="8" spans="2:24" x14ac:dyDescent="0.3">
      <c r="B8" s="1" t="s">
        <v>16</v>
      </c>
      <c r="C8" s="17"/>
      <c r="D8" s="14"/>
      <c r="E8" s="20"/>
      <c r="F8" s="5">
        <v>1</v>
      </c>
      <c r="G8" s="23"/>
      <c r="H8" s="11">
        <v>1</v>
      </c>
      <c r="I8" s="30"/>
      <c r="J8" s="31">
        <v>1</v>
      </c>
      <c r="K8" s="27">
        <f t="shared" si="0"/>
        <v>0</v>
      </c>
      <c r="L8" s="41">
        <f t="shared" si="1"/>
        <v>1324.3333333333335</v>
      </c>
      <c r="M8" s="42">
        <f t="shared" si="2"/>
        <v>1325</v>
      </c>
      <c r="N8" s="29">
        <f>M8+M9</f>
        <v>2267</v>
      </c>
      <c r="P8" s="39"/>
      <c r="Q8" s="43"/>
      <c r="R8" s="43"/>
      <c r="S8" s="43"/>
      <c r="T8" s="1"/>
      <c r="U8" s="1"/>
      <c r="V8" s="1"/>
      <c r="X8" s="39"/>
    </row>
    <row r="9" spans="2:24" x14ac:dyDescent="0.3">
      <c r="B9" s="1" t="s">
        <v>4</v>
      </c>
      <c r="C9" s="17"/>
      <c r="D9" s="14"/>
      <c r="E9" s="20"/>
      <c r="F9" s="5">
        <v>1</v>
      </c>
      <c r="G9" s="23"/>
      <c r="H9" s="11"/>
      <c r="I9" s="30"/>
      <c r="J9" s="31">
        <v>1</v>
      </c>
      <c r="K9" s="27">
        <f t="shared" si="0"/>
        <v>0</v>
      </c>
      <c r="L9" s="41">
        <f>($C$12*D9+$E$12*F9+$G$12*H9+$I$12*J9)-K9</f>
        <v>941.33333333333337</v>
      </c>
      <c r="M9" s="42">
        <f t="shared" si="2"/>
        <v>942</v>
      </c>
      <c r="N9" s="29"/>
      <c r="P9" s="39"/>
      <c r="Q9" s="43"/>
      <c r="R9" s="43"/>
      <c r="S9" s="43"/>
      <c r="T9" s="1"/>
      <c r="U9" s="1"/>
      <c r="V9" s="1"/>
      <c r="X9" s="39"/>
    </row>
    <row r="10" spans="2:24" x14ac:dyDescent="0.3">
      <c r="B10" s="1" t="s">
        <v>15</v>
      </c>
      <c r="C10" s="17"/>
      <c r="D10" s="14"/>
      <c r="E10" s="20"/>
      <c r="F10" s="5"/>
      <c r="G10" s="23"/>
      <c r="H10" s="11">
        <v>1</v>
      </c>
      <c r="I10" s="30"/>
      <c r="J10" s="31">
        <v>1</v>
      </c>
      <c r="K10" s="27">
        <f t="shared" si="0"/>
        <v>0</v>
      </c>
      <c r="L10" s="41">
        <f>($C$12*D10+$E$12*F10+$G$12*H10+$I$12*J10)-K10</f>
        <v>383</v>
      </c>
      <c r="M10" s="42">
        <f t="shared" si="2"/>
        <v>383</v>
      </c>
      <c r="N10" s="29"/>
      <c r="P10" s="39"/>
      <c r="Q10" s="43"/>
      <c r="R10" s="43"/>
      <c r="S10" s="43"/>
      <c r="T10" s="1"/>
      <c r="U10" s="1"/>
      <c r="V10" s="1"/>
      <c r="X10" s="39"/>
    </row>
    <row r="11" spans="2:24" x14ac:dyDescent="0.3">
      <c r="B11" s="1" t="s">
        <v>6</v>
      </c>
      <c r="C11" s="18">
        <f>SUM(C4:C10)</f>
        <v>0</v>
      </c>
      <c r="D11" s="15"/>
      <c r="E11" s="21">
        <f>SUM(E4:E10)</f>
        <v>5648</v>
      </c>
      <c r="F11" s="10"/>
      <c r="G11" s="24">
        <f>SUM(G4:G10)</f>
        <v>2298</v>
      </c>
      <c r="H11" s="12"/>
      <c r="I11" s="32">
        <f>SUM(I4:I10)</f>
        <v>0</v>
      </c>
      <c r="J11" s="33"/>
      <c r="K11" s="21">
        <f>C11+I11+E11+G11</f>
        <v>7946</v>
      </c>
      <c r="L11" s="1"/>
      <c r="M11" s="36"/>
    </row>
    <row r="12" spans="2:24" x14ac:dyDescent="0.3">
      <c r="B12" s="1" t="s">
        <v>7</v>
      </c>
      <c r="C12" s="19">
        <f>IFERROR(C11/SUM(D4:D10),0)</f>
        <v>0</v>
      </c>
      <c r="D12" s="16"/>
      <c r="E12" s="22">
        <f>IFERROR(E11/SUM(F4:F10),0)</f>
        <v>941.33333333333337</v>
      </c>
      <c r="F12" s="3"/>
      <c r="G12" s="25">
        <f>IFERROR(G11/SUM(H4:H10),0)</f>
        <v>383</v>
      </c>
      <c r="H12" s="13"/>
      <c r="I12" s="34">
        <f>IFERROR(I11/SUM(J4:J10),0)</f>
        <v>0</v>
      </c>
      <c r="J12" s="35"/>
      <c r="K12" s="28">
        <f>ROUNDUP(C12+I12+E12+G12,0)</f>
        <v>1325</v>
      </c>
      <c r="L12" s="1"/>
      <c r="M12" s="1"/>
    </row>
  </sheetData>
  <mergeCells count="9">
    <mergeCell ref="P2:V2"/>
    <mergeCell ref="B2:B3"/>
    <mergeCell ref="C2:K2"/>
    <mergeCell ref="L2:L3"/>
    <mergeCell ref="M2:M3"/>
    <mergeCell ref="C3:D3"/>
    <mergeCell ref="E3:F3"/>
    <mergeCell ref="I3:J3"/>
    <mergeCell ref="G3:H3"/>
  </mergeCells>
  <conditionalFormatting sqref="E4:E10 I4:I10 C4:C10">
    <cfRule type="expression" dxfId="4" priority="7">
      <formula>D4=0</formula>
    </cfRule>
  </conditionalFormatting>
  <conditionalFormatting sqref="D4:D10 F4:F10 J4:J10">
    <cfRule type="expression" dxfId="3" priority="6">
      <formula>D4=0</formula>
    </cfRule>
  </conditionalFormatting>
  <conditionalFormatting sqref="G4 G9:G10">
    <cfRule type="expression" dxfId="2" priority="3">
      <formula>H4=0</formula>
    </cfRule>
  </conditionalFormatting>
  <conditionalFormatting sqref="H4:H10">
    <cfRule type="expression" dxfId="1" priority="2">
      <formula>H4=0</formula>
    </cfRule>
  </conditionalFormatting>
  <conditionalFormatting sqref="G5:G8">
    <cfRule type="expression" dxfId="0" priority="1">
      <formula>H5=0</formula>
    </cfRule>
  </conditionalFormatting>
  <dataValidations count="1">
    <dataValidation type="list" allowBlank="1" showInputMessage="1" showErrorMessage="1" sqref="J4:J10 D4:D10 F4:F10 H4:H10">
      <formula1>"1"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Views>
    <sheetView workbookViewId="0">
      <selection activeCell="B4" sqref="B4:B10"/>
    </sheetView>
  </sheetViews>
  <sheetFormatPr defaultRowHeight="18.75" x14ac:dyDescent="0.3"/>
  <cols>
    <col min="1" max="1" width="1.77734375" customWidth="1"/>
    <col min="2" max="2" width="19" customWidth="1"/>
    <col min="3" max="5" width="6" bestFit="1" customWidth="1"/>
    <col min="6" max="6" width="6.21875" bestFit="1" customWidth="1"/>
    <col min="8" max="8" width="12.21875" customWidth="1"/>
  </cols>
  <sheetData>
    <row r="2" spans="2:8" ht="42.75" customHeight="1" x14ac:dyDescent="0.3">
      <c r="B2" s="45"/>
      <c r="C2" s="46" t="s">
        <v>10</v>
      </c>
      <c r="D2" s="47"/>
      <c r="E2" s="47"/>
      <c r="F2" s="48"/>
      <c r="G2" s="49" t="s">
        <v>8</v>
      </c>
      <c r="H2" s="49" t="s">
        <v>9</v>
      </c>
    </row>
    <row r="3" spans="2:8" x14ac:dyDescent="0.3">
      <c r="B3" s="45"/>
      <c r="C3" s="2" t="s">
        <v>17</v>
      </c>
      <c r="D3" s="2" t="s">
        <v>11</v>
      </c>
      <c r="E3" s="2" t="s">
        <v>12</v>
      </c>
      <c r="F3" s="2" t="s">
        <v>13</v>
      </c>
      <c r="G3" s="49"/>
      <c r="H3" s="49"/>
    </row>
    <row r="4" spans="2:8" x14ac:dyDescent="0.3">
      <c r="B4" s="1" t="s">
        <v>0</v>
      </c>
      <c r="C4" s="5"/>
      <c r="D4" s="5"/>
      <c r="E4" s="5"/>
      <c r="F4" s="7">
        <f>C4+E4+D4</f>
        <v>0</v>
      </c>
      <c r="G4" s="9">
        <f>($C$12+$D$12+$E$12)-F4</f>
        <v>2041.0666666666666</v>
      </c>
      <c r="H4" s="6">
        <f>ROUNDUP(G4,0)</f>
        <v>2042</v>
      </c>
    </row>
    <row r="5" spans="2:8" x14ac:dyDescent="0.3">
      <c r="B5" s="1" t="s">
        <v>1</v>
      </c>
      <c r="C5" s="5"/>
      <c r="D5" s="5"/>
      <c r="E5" s="5"/>
      <c r="F5" s="7">
        <f t="shared" ref="F5:F7" si="0">C5+E5+D5</f>
        <v>0</v>
      </c>
      <c r="G5" s="9">
        <f t="shared" ref="G5:G9" si="1">($C$12+$D$12+$E$12)-F5</f>
        <v>2041.0666666666666</v>
      </c>
      <c r="H5" s="6">
        <f t="shared" ref="H5:H9" si="2">ROUNDUP(G5,0)</f>
        <v>2042</v>
      </c>
    </row>
    <row r="6" spans="2:8" x14ac:dyDescent="0.3">
      <c r="B6" s="1" t="s">
        <v>2</v>
      </c>
      <c r="C6" s="5"/>
      <c r="D6" s="5"/>
      <c r="E6" s="5"/>
      <c r="F6" s="7">
        <f t="shared" si="0"/>
        <v>0</v>
      </c>
      <c r="G6" s="9">
        <f t="shared" si="1"/>
        <v>2041.0666666666666</v>
      </c>
      <c r="H6" s="6">
        <f t="shared" si="2"/>
        <v>2042</v>
      </c>
    </row>
    <row r="7" spans="2:8" x14ac:dyDescent="0.3">
      <c r="B7" s="1" t="s">
        <v>3</v>
      </c>
      <c r="C7" s="5">
        <f>2197+2265</f>
        <v>4462</v>
      </c>
      <c r="D7" s="5">
        <f>2589+275+289+289+210+237+119+2479</f>
        <v>6487</v>
      </c>
      <c r="E7" s="5"/>
      <c r="F7" s="7">
        <f t="shared" si="0"/>
        <v>10949</v>
      </c>
      <c r="G7" s="9">
        <f t="shared" si="1"/>
        <v>-8907.9333333333343</v>
      </c>
      <c r="H7" s="6">
        <f t="shared" si="2"/>
        <v>-8908</v>
      </c>
    </row>
    <row r="8" spans="2:8" x14ac:dyDescent="0.3">
      <c r="B8" s="1" t="s">
        <v>16</v>
      </c>
      <c r="C8" s="5"/>
      <c r="D8" s="5"/>
      <c r="E8" s="8" t="s">
        <v>14</v>
      </c>
      <c r="F8" s="7">
        <f>C8+D8</f>
        <v>0</v>
      </c>
      <c r="G8" s="9">
        <f t="shared" si="1"/>
        <v>2041.0666666666666</v>
      </c>
      <c r="H8" s="6">
        <f t="shared" si="2"/>
        <v>2042</v>
      </c>
    </row>
    <row r="9" spans="2:8" x14ac:dyDescent="0.3">
      <c r="B9" s="1" t="s">
        <v>4</v>
      </c>
      <c r="C9" s="5"/>
      <c r="D9" s="8" t="s">
        <v>14</v>
      </c>
      <c r="E9" s="8" t="s">
        <v>14</v>
      </c>
      <c r="F9" s="7">
        <f>C9</f>
        <v>0</v>
      </c>
      <c r="G9" s="9">
        <f t="shared" si="1"/>
        <v>2041.0666666666666</v>
      </c>
      <c r="H9" s="6">
        <f t="shared" si="2"/>
        <v>2042</v>
      </c>
    </row>
    <row r="10" spans="2:8" x14ac:dyDescent="0.3">
      <c r="B10" s="1" t="s">
        <v>15</v>
      </c>
      <c r="C10" s="5"/>
      <c r="D10" s="8"/>
      <c r="E10" s="8"/>
      <c r="F10" s="7"/>
      <c r="G10" s="9"/>
      <c r="H10" s="6"/>
    </row>
    <row r="11" spans="2:8" x14ac:dyDescent="0.3">
      <c r="B11" s="1" t="s">
        <v>6</v>
      </c>
      <c r="C11" s="4">
        <f>SUM(C4:C9)</f>
        <v>4462</v>
      </c>
      <c r="D11" s="4">
        <f>SUM(D4:D8)</f>
        <v>6487</v>
      </c>
      <c r="E11" s="4">
        <f>SUM(E4:E7)</f>
        <v>0</v>
      </c>
      <c r="F11" s="4">
        <f>C11+E11</f>
        <v>4462</v>
      </c>
      <c r="G11" s="1"/>
      <c r="H11" s="1"/>
    </row>
    <row r="12" spans="2:8" x14ac:dyDescent="0.3">
      <c r="B12" s="1" t="s">
        <v>7</v>
      </c>
      <c r="C12" s="3">
        <f>C11/6</f>
        <v>743.66666666666663</v>
      </c>
      <c r="D12" s="3">
        <f>D11/5</f>
        <v>1297.4000000000001</v>
      </c>
      <c r="E12" s="3">
        <f>E11/4</f>
        <v>0</v>
      </c>
      <c r="F12" s="3">
        <f>C12+E12</f>
        <v>743.66666666666663</v>
      </c>
      <c r="G12" s="1"/>
      <c r="H12" s="1"/>
    </row>
    <row r="16" spans="2:8" x14ac:dyDescent="0.3">
      <c r="E16">
        <f>2589+275+289+289+210+237+119+2479</f>
        <v>6487</v>
      </c>
    </row>
    <row r="17" spans="5:5" x14ac:dyDescent="0.3">
      <c r="E17">
        <f>2197+2265</f>
        <v>4462</v>
      </c>
    </row>
  </sheetData>
  <mergeCells count="4">
    <mergeCell ref="B2:B3"/>
    <mergeCell ref="G2:G3"/>
    <mergeCell ref="H2:H3"/>
    <mergeCell ref="C2:F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0"/>
  <sheetViews>
    <sheetView view="pageBreakPreview" zoomScale="130" zoomScaleNormal="100" zoomScaleSheetLayoutView="130" workbookViewId="0">
      <selection activeCell="B4" sqref="B4:B10"/>
    </sheetView>
  </sheetViews>
  <sheetFormatPr defaultRowHeight="18.75" x14ac:dyDescent="0.3"/>
  <cols>
    <col min="1" max="1" width="2.21875" customWidth="1"/>
    <col min="2" max="2" width="19" customWidth="1"/>
    <col min="3" max="3" width="13.88671875" customWidth="1"/>
    <col min="4" max="4" width="15.109375" customWidth="1"/>
    <col min="5" max="5" width="12.77734375" customWidth="1"/>
    <col min="6" max="7" width="6.109375" bestFit="1" customWidth="1"/>
  </cols>
  <sheetData>
    <row r="3" spans="2:7" ht="56.25" x14ac:dyDescent="0.3">
      <c r="B3" s="1"/>
      <c r="C3" s="2" t="s">
        <v>5</v>
      </c>
      <c r="D3" s="2" t="s">
        <v>8</v>
      </c>
      <c r="E3" s="2" t="s">
        <v>9</v>
      </c>
      <c r="F3" s="2"/>
      <c r="G3" s="2"/>
    </row>
    <row r="4" spans="2:7" x14ac:dyDescent="0.3">
      <c r="B4" s="1" t="s">
        <v>0</v>
      </c>
      <c r="C4" s="5"/>
      <c r="D4" s="1">
        <f>$C$10-C4</f>
        <v>973.6</v>
      </c>
      <c r="E4" s="6">
        <f>ROUNDUP(D4,0)</f>
        <v>974</v>
      </c>
      <c r="F4" s="6">
        <f>'на 4'!E4</f>
        <v>275</v>
      </c>
      <c r="G4" s="6">
        <f>E4+F4</f>
        <v>1249</v>
      </c>
    </row>
    <row r="5" spans="2:7" x14ac:dyDescent="0.3">
      <c r="B5" s="1" t="s">
        <v>1</v>
      </c>
      <c r="C5" s="5">
        <v>719</v>
      </c>
      <c r="D5" s="1">
        <f>$C$10-C5</f>
        <v>254.60000000000002</v>
      </c>
      <c r="E5" s="6">
        <f t="shared" ref="E5:E8" si="0">ROUNDUP(D5,0)</f>
        <v>255</v>
      </c>
      <c r="F5" s="6">
        <f>'на 4'!E5</f>
        <v>275</v>
      </c>
      <c r="G5" s="6">
        <f t="shared" ref="G5:G8" si="1">E5+F5</f>
        <v>530</v>
      </c>
    </row>
    <row r="6" spans="2:7" x14ac:dyDescent="0.3">
      <c r="B6" s="1" t="s">
        <v>2</v>
      </c>
      <c r="C6" s="5">
        <v>480</v>
      </c>
      <c r="D6" s="1">
        <f>$C$10-C6</f>
        <v>493.6</v>
      </c>
      <c r="E6" s="6">
        <f t="shared" si="0"/>
        <v>494</v>
      </c>
      <c r="F6" s="6">
        <f>'на 4'!E6</f>
        <v>275</v>
      </c>
      <c r="G6" s="6">
        <f t="shared" si="1"/>
        <v>769</v>
      </c>
    </row>
    <row r="7" spans="2:7" x14ac:dyDescent="0.3">
      <c r="B7" s="1" t="s">
        <v>3</v>
      </c>
      <c r="C7" s="5">
        <f>2510+520+639</f>
        <v>3669</v>
      </c>
      <c r="D7" s="1">
        <f>$C$10-C7</f>
        <v>-2695.4</v>
      </c>
      <c r="E7" s="6">
        <f t="shared" si="0"/>
        <v>-2696</v>
      </c>
      <c r="F7" s="6">
        <f>'на 4'!E7</f>
        <v>-825</v>
      </c>
      <c r="G7" s="6">
        <f t="shared" si="1"/>
        <v>-3521</v>
      </c>
    </row>
    <row r="8" spans="2:7" x14ac:dyDescent="0.3">
      <c r="B8" s="1" t="s">
        <v>15</v>
      </c>
      <c r="C8" s="5"/>
      <c r="D8" s="1">
        <f>$C$10-C8</f>
        <v>973.6</v>
      </c>
      <c r="E8" s="6">
        <f t="shared" si="0"/>
        <v>974</v>
      </c>
      <c r="F8" s="6"/>
      <c r="G8" s="6">
        <f t="shared" si="1"/>
        <v>974</v>
      </c>
    </row>
    <row r="9" spans="2:7" x14ac:dyDescent="0.3">
      <c r="B9" s="1" t="s">
        <v>6</v>
      </c>
      <c r="C9" s="4">
        <f>SUM(C4:C8)</f>
        <v>4868</v>
      </c>
      <c r="D9" s="1"/>
      <c r="E9" s="1"/>
      <c r="F9" s="1"/>
      <c r="G9" s="1"/>
    </row>
    <row r="10" spans="2:7" x14ac:dyDescent="0.3">
      <c r="B10" s="1" t="s">
        <v>7</v>
      </c>
      <c r="C10" s="3">
        <f>C9/5</f>
        <v>973.6</v>
      </c>
      <c r="D10" s="1"/>
      <c r="E10" s="1"/>
      <c r="F10" s="1"/>
      <c r="G10" s="1"/>
    </row>
  </sheetData>
  <pageMargins left="0.7" right="0.7" top="0.75" bottom="0.75" header="0.3" footer="0.3"/>
  <pageSetup paperSize="9" scale="9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9"/>
  <sheetViews>
    <sheetView view="pageBreakPreview" zoomScale="130" zoomScaleNormal="100" zoomScaleSheetLayoutView="130" workbookViewId="0">
      <selection activeCell="B4" sqref="B4:B10"/>
    </sheetView>
  </sheetViews>
  <sheetFormatPr defaultRowHeight="18.75" x14ac:dyDescent="0.3"/>
  <cols>
    <col min="1" max="1" width="2.21875" customWidth="1"/>
    <col min="2" max="2" width="19" customWidth="1"/>
    <col min="3" max="3" width="13.88671875" customWidth="1"/>
    <col min="4" max="4" width="15.109375" customWidth="1"/>
    <col min="5" max="5" width="12.77734375" customWidth="1"/>
  </cols>
  <sheetData>
    <row r="3" spans="2:5" ht="56.25" x14ac:dyDescent="0.3">
      <c r="B3" s="1"/>
      <c r="C3" s="2" t="s">
        <v>5</v>
      </c>
      <c r="D3" s="2" t="s">
        <v>8</v>
      </c>
      <c r="E3" s="2" t="s">
        <v>9</v>
      </c>
    </row>
    <row r="4" spans="2:5" x14ac:dyDescent="0.3">
      <c r="B4" s="1" t="s">
        <v>0</v>
      </c>
      <c r="C4" s="5"/>
      <c r="D4" s="1">
        <f>$C$9-C4</f>
        <v>274.75</v>
      </c>
      <c r="E4" s="6">
        <f>ROUNDUP(D4,0)</f>
        <v>275</v>
      </c>
    </row>
    <row r="5" spans="2:5" x14ac:dyDescent="0.3">
      <c r="B5" s="1" t="s">
        <v>1</v>
      </c>
      <c r="C5" s="5"/>
      <c r="D5" s="1">
        <f>$C$9-C5</f>
        <v>274.75</v>
      </c>
      <c r="E5" s="6">
        <f t="shared" ref="E5:E7" si="0">ROUNDUP(D5,0)</f>
        <v>275</v>
      </c>
    </row>
    <row r="6" spans="2:5" x14ac:dyDescent="0.3">
      <c r="B6" s="1" t="s">
        <v>2</v>
      </c>
      <c r="C6" s="5"/>
      <c r="D6" s="1">
        <f>$C$9-C6</f>
        <v>274.75</v>
      </c>
      <c r="E6" s="6">
        <f t="shared" si="0"/>
        <v>275</v>
      </c>
    </row>
    <row r="7" spans="2:5" x14ac:dyDescent="0.3">
      <c r="B7" s="1" t="s">
        <v>3</v>
      </c>
      <c r="C7" s="5">
        <v>1099</v>
      </c>
      <c r="D7" s="1">
        <f>$C$9-C7</f>
        <v>-824.25</v>
      </c>
      <c r="E7" s="6">
        <f t="shared" si="0"/>
        <v>-825</v>
      </c>
    </row>
    <row r="8" spans="2:5" x14ac:dyDescent="0.3">
      <c r="B8" s="1" t="s">
        <v>6</v>
      </c>
      <c r="C8" s="4">
        <f>SUM(C4:C7)</f>
        <v>1099</v>
      </c>
      <c r="D8" s="1"/>
      <c r="E8" s="1"/>
    </row>
    <row r="9" spans="2:5" x14ac:dyDescent="0.3">
      <c r="B9" s="1" t="s">
        <v>7</v>
      </c>
      <c r="C9" s="3">
        <f>C8/4</f>
        <v>274.75</v>
      </c>
      <c r="D9" s="1"/>
      <c r="E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Расчет (2)</vt:lpstr>
      <vt:lpstr>Расчет</vt:lpstr>
      <vt:lpstr>на 5</vt:lpstr>
      <vt:lpstr>на 4</vt:lpstr>
      <vt:lpstr>'Расчет (2)'!Область_печати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Изотов Сергей Сергеевич</dc:creator>
  <cp:lastModifiedBy>Изотов Сергей Сергеевич</cp:lastModifiedBy>
  <cp:lastPrinted>2026-05-29T07:42:28Z</cp:lastPrinted>
  <dcterms:created xsi:type="dcterms:W3CDTF">2025-05-30T07:44:19Z</dcterms:created>
  <dcterms:modified xsi:type="dcterms:W3CDTF">2026-05-29T07:49:29Z</dcterms:modified>
</cp:coreProperties>
</file>